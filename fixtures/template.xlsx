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ный лист" sheetId="1" state="visible" r:id="rId1"/>
    <sheet xmlns:r="http://schemas.openxmlformats.org/officeDocument/2006/relationships" name="Справочники" sheetId="2" state="visible" r:id="rId2"/>
  </sheets>
  <definedNames>
    <definedName name="_xlnm.Print_Area" localSheetId="0">'Конкурентный лист'!$A$1:$H$30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4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9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КОНКУРЕНТНЫЙ ЛИСТ</t>
        </is>
      </c>
    </row>
    <row r="2">
      <c r="A2" s="2" t="inlineStr">
        <is>
          <t>Предмет закупки:</t>
        </is>
      </c>
    </row>
    <row r="4" ht="30" customHeight="1">
      <c r="A4" s="3" t="n"/>
      <c r="B4" s="3" t="n"/>
      <c r="C4" s="3" t="n"/>
      <c r="D4" s="3" t="n"/>
      <c r="E4" s="4" t="inlineStr">
        <is>
          <t>Поставщик 1</t>
        </is>
      </c>
      <c r="F4" s="3" t="n"/>
      <c r="G4" s="4" t="inlineStr">
        <is>
          <t>Поставщик 2</t>
        </is>
      </c>
      <c r="H4" s="3" t="n"/>
    </row>
    <row r="5" ht="22" customHeight="1">
      <c r="A5" s="5" t="inlineStr">
        <is>
          <t>Принадлежность поставщика</t>
        </is>
      </c>
      <c r="B5" s="3" t="n"/>
      <c r="C5" s="3" t="n"/>
      <c r="D5" s="3" t="n"/>
      <c r="E5" s="6" t="n"/>
      <c r="F5" s="3" t="n"/>
      <c r="G5" s="6" t="n"/>
      <c r="H5" s="3" t="n"/>
    </row>
    <row r="6" ht="22" customHeight="1">
      <c r="A6" s="5" t="inlineStr">
        <is>
          <t>Производитель (да/нет)</t>
        </is>
      </c>
      <c r="B6" s="3" t="n"/>
      <c r="C6" s="3" t="n"/>
      <c r="D6" s="3" t="n"/>
      <c r="E6" s="6" t="n"/>
      <c r="F6" s="3" t="n"/>
      <c r="G6" s="6" t="n"/>
      <c r="H6" s="3" t="n"/>
    </row>
    <row r="7" ht="22" customHeight="1">
      <c r="A7" s="5" t="inlineStr">
        <is>
          <t>Техническое заключение</t>
        </is>
      </c>
      <c r="B7" s="3" t="n"/>
      <c r="C7" s="3" t="n"/>
      <c r="D7" s="3" t="n"/>
      <c r="E7" s="6" t="n"/>
      <c r="F7" s="3" t="n"/>
      <c r="G7" s="6" t="n"/>
      <c r="H7" s="3" t="n"/>
    </row>
    <row r="8" ht="22" customHeight="1">
      <c r="A8" s="5" t="inlineStr">
        <is>
          <t>Страна происхождения</t>
        </is>
      </c>
      <c r="B8" s="3" t="n"/>
      <c r="C8" s="3" t="n"/>
      <c r="D8" s="3" t="n"/>
      <c r="E8" s="6" t="n"/>
      <c r="F8" s="3" t="n"/>
      <c r="G8" s="6" t="n"/>
      <c r="H8" s="3" t="n"/>
    </row>
    <row r="9" ht="22" customHeight="1">
      <c r="A9" s="5" t="inlineStr">
        <is>
          <t>Страна отгрузки</t>
        </is>
      </c>
      <c r="B9" s="3" t="n"/>
      <c r="C9" s="3" t="n"/>
      <c r="D9" s="3" t="n"/>
      <c r="E9" s="6" t="n"/>
      <c r="F9" s="3" t="n"/>
      <c r="G9" s="6" t="n"/>
      <c r="H9" s="3" t="n"/>
    </row>
    <row r="10" ht="22" customHeight="1">
      <c r="A10" s="5" t="inlineStr">
        <is>
          <t>Город (пункт отправления)</t>
        </is>
      </c>
      <c r="B10" s="3" t="n"/>
      <c r="C10" s="3" t="n"/>
      <c r="D10" s="3" t="n"/>
      <c r="E10" s="6" t="n"/>
      <c r="F10" s="3" t="n"/>
      <c r="G10" s="6" t="n"/>
      <c r="H10" s="3" t="n"/>
    </row>
    <row r="11" ht="22" customHeight="1">
      <c r="A11" s="5" t="inlineStr">
        <is>
          <t>Валюта ТКП</t>
        </is>
      </c>
      <c r="B11" s="3" t="n"/>
      <c r="C11" s="3" t="n"/>
      <c r="D11" s="3" t="n"/>
      <c r="E11" s="6" t="n"/>
      <c r="F11" s="3" t="n"/>
      <c r="G11" s="6" t="n"/>
      <c r="H11" s="3" t="n"/>
    </row>
    <row r="12" ht="22" customHeight="1">
      <c r="A12" s="5" t="inlineStr">
        <is>
          <t>Дата предложения</t>
        </is>
      </c>
      <c r="B12" s="3" t="n"/>
      <c r="C12" s="3" t="n"/>
      <c r="D12" s="3" t="n"/>
      <c r="E12" s="6" t="n"/>
      <c r="F12" s="3" t="n"/>
      <c r="G12" s="6" t="n"/>
      <c r="H12" s="3" t="n"/>
    </row>
    <row r="13" ht="22" customHeight="1">
      <c r="A13" s="5" t="inlineStr">
        <is>
          <t>Срок действия предложения</t>
        </is>
      </c>
      <c r="B13" s="3" t="n"/>
      <c r="C13" s="3" t="n"/>
      <c r="D13" s="3" t="n"/>
      <c r="E13" s="6" t="n"/>
      <c r="F13" s="3" t="n"/>
      <c r="G13" s="6" t="n"/>
      <c r="H13" s="3" t="n"/>
    </row>
    <row r="14" ht="22" customHeight="1">
      <c r="A14" s="5" t="inlineStr">
        <is>
          <t>Базис поставки (ИНКОТЕРМС 2020)</t>
        </is>
      </c>
      <c r="B14" s="3" t="n"/>
      <c r="C14" s="3" t="n"/>
      <c r="D14" s="3" t="n"/>
      <c r="E14" s="6" t="n"/>
      <c r="F14" s="3" t="n"/>
      <c r="G14" s="6" t="n"/>
      <c r="H14" s="3" t="n"/>
    </row>
    <row r="15" ht="22" customHeight="1">
      <c r="A15" s="5" t="inlineStr">
        <is>
          <t>Пункт поставки</t>
        </is>
      </c>
      <c r="B15" s="3" t="n"/>
      <c r="C15" s="3" t="n"/>
      <c r="D15" s="3" t="n"/>
      <c r="E15" s="6" t="n"/>
      <c r="F15" s="3" t="n"/>
      <c r="G15" s="6" t="n"/>
      <c r="H15" s="3" t="n"/>
    </row>
    <row r="16" ht="22" customHeight="1">
      <c r="A16" s="5" t="inlineStr">
        <is>
          <t>НДС в цене</t>
        </is>
      </c>
      <c r="B16" s="3" t="n"/>
      <c r="C16" s="3" t="n"/>
      <c r="D16" s="3" t="n"/>
      <c r="E16" s="6" t="n"/>
      <c r="F16" s="3" t="n"/>
      <c r="G16" s="6" t="n"/>
      <c r="H16" s="3" t="n"/>
    </row>
    <row r="17" ht="32" customHeight="1">
      <c r="A17" s="4" t="inlineStr">
        <is>
          <t>№</t>
        </is>
      </c>
      <c r="B17" s="4" t="inlineStr">
        <is>
          <t>Наименование</t>
        </is>
      </c>
      <c r="C17" s="4" t="inlineStr">
        <is>
          <t>Ед. изм.</t>
        </is>
      </c>
      <c r="D17" s="4" t="inlineStr">
        <is>
          <t>Кол-во</t>
        </is>
      </c>
      <c r="E17" s="4" t="inlineStr">
        <is>
          <t>Цена у поставщика</t>
        </is>
      </c>
      <c r="F17" s="4" t="inlineStr">
        <is>
          <t>Сумма</t>
        </is>
      </c>
      <c r="G17" s="4" t="inlineStr">
        <is>
          <t>Цена у поставщика</t>
        </is>
      </c>
      <c r="H17" s="4" t="inlineStr">
        <is>
          <t>Сумма</t>
        </is>
      </c>
    </row>
    <row r="18" ht="30" customHeight="1">
      <c r="A18" s="7" t="n">
        <v>1</v>
      </c>
      <c r="B18" s="6" t="inlineStr">
        <is>
          <t>Наименование позиции</t>
        </is>
      </c>
      <c r="C18" s="7" t="inlineStr">
        <is>
          <t>шт</t>
        </is>
      </c>
      <c r="D18" s="7" t="n">
        <v>1</v>
      </c>
      <c r="E18" s="8" t="n"/>
      <c r="F18" s="8">
        <f>D18*E18</f>
        <v/>
      </c>
      <c r="G18" s="8" t="n"/>
      <c r="H18" s="8">
        <f>D18*G18</f>
        <v/>
      </c>
    </row>
    <row r="19" ht="22" customHeight="1">
      <c r="A19" s="9" t="inlineStr">
        <is>
          <t>Итого количество</t>
        </is>
      </c>
      <c r="B19" s="3" t="n"/>
      <c r="C19" s="3" t="n"/>
      <c r="D19" s="3" t="n"/>
      <c r="E19" s="10">
        <f>D18</f>
        <v/>
      </c>
      <c r="F19" s="3" t="n"/>
      <c r="G19" s="10">
        <f>D18</f>
        <v/>
      </c>
      <c r="H19" s="3" t="n"/>
    </row>
    <row r="20" ht="22" customHeight="1">
      <c r="A20" s="9" t="inlineStr">
        <is>
          <t>Сумма в валюте ТКП</t>
        </is>
      </c>
      <c r="B20" s="3" t="n"/>
      <c r="C20" s="3" t="n"/>
      <c r="D20" s="3" t="n"/>
      <c r="E20" s="11">
        <f>F18</f>
        <v/>
      </c>
      <c r="F20" s="3" t="n"/>
      <c r="G20" s="11">
        <f>H18</f>
        <v/>
      </c>
      <c r="H20" s="3" t="n"/>
    </row>
    <row r="21" ht="22" customHeight="1">
      <c r="A21" s="9" t="inlineStr">
        <is>
          <t>Сумма в UZS</t>
        </is>
      </c>
      <c r="B21" s="3" t="n"/>
      <c r="C21" s="3" t="n"/>
      <c r="D21" s="3" t="n"/>
      <c r="E21" s="11">
        <f>E20*VLOOKUP(E11,'Справочники'!$F$2:$G$2,2,0)</f>
        <v/>
      </c>
      <c r="F21" s="3" t="n"/>
      <c r="G21" s="11">
        <f>G20*VLOOKUP(G11,'Справочники'!$F$2:$G$2,2,0)</f>
        <v/>
      </c>
      <c r="H21" s="3" t="n"/>
    </row>
    <row r="22" ht="22" customHeight="1">
      <c r="A22" s="9" t="inlineStr">
        <is>
          <t>НДС 12%</t>
        </is>
      </c>
      <c r="B22" s="3" t="n"/>
      <c r="C22" s="3" t="n"/>
      <c r="D22" s="3" t="n"/>
      <c r="E22" s="11">
        <f>E21*0.12</f>
        <v/>
      </c>
      <c r="F22" s="3" t="n"/>
      <c r="G22" s="11">
        <f>G21*0.12</f>
        <v/>
      </c>
      <c r="H22" s="3" t="n"/>
    </row>
    <row r="23" ht="22" customHeight="1">
      <c r="A23" s="9" t="inlineStr">
        <is>
          <t>Транспортные расходы</t>
        </is>
      </c>
      <c r="B23" s="3" t="n"/>
      <c r="C23" s="3" t="n"/>
      <c r="D23" s="3" t="n"/>
      <c r="E23" s="11" t="n"/>
      <c r="F23" s="3" t="n"/>
      <c r="G23" s="11" t="n"/>
      <c r="H23" s="3" t="n"/>
    </row>
    <row r="24" ht="22" customHeight="1">
      <c r="A24" s="9" t="inlineStr">
        <is>
          <t>ИТОГО с НДС и транспортом</t>
        </is>
      </c>
      <c r="B24" s="3" t="n"/>
      <c r="C24" s="3" t="n"/>
      <c r="D24" s="3" t="n"/>
      <c r="E24" s="11">
        <f>E21+E22+E23</f>
        <v/>
      </c>
      <c r="F24" s="3" t="n"/>
      <c r="G24" s="11">
        <f>G21+G22+G23</f>
        <v/>
      </c>
      <c r="H24" s="3" t="n"/>
    </row>
    <row r="25" ht="22" customHeight="1">
      <c r="A25" s="9" t="inlineStr">
        <is>
          <t>Срок поставки</t>
        </is>
      </c>
      <c r="B25" s="3" t="n"/>
      <c r="C25" s="3" t="n"/>
      <c r="D25" s="3" t="n"/>
      <c r="E25" s="12" t="n"/>
      <c r="F25" s="3" t="n"/>
      <c r="G25" s="12" t="n"/>
      <c r="H25" s="3" t="n"/>
    </row>
    <row r="26" ht="22" customHeight="1">
      <c r="A26" s="9" t="inlineStr">
        <is>
          <t>Условия оплаты</t>
        </is>
      </c>
      <c r="B26" s="3" t="n"/>
      <c r="C26" s="3" t="n"/>
      <c r="D26" s="3" t="n"/>
      <c r="E26" s="12" t="n"/>
      <c r="F26" s="3" t="n"/>
      <c r="G26" s="12" t="n"/>
      <c r="H26" s="3" t="n"/>
    </row>
    <row r="27" ht="22" customHeight="1">
      <c r="A27" s="9" t="inlineStr">
        <is>
          <t>Гарантийные обязательства</t>
        </is>
      </c>
      <c r="B27" s="3" t="n"/>
      <c r="C27" s="3" t="n"/>
      <c r="D27" s="3" t="n"/>
      <c r="E27" s="12" t="n"/>
      <c r="F27" s="3" t="n"/>
      <c r="G27" s="12" t="n"/>
      <c r="H27" s="3" t="n"/>
    </row>
    <row r="28" ht="22" customHeight="1">
      <c r="A28" s="9" t="inlineStr">
        <is>
          <t>Процедура закупки</t>
        </is>
      </c>
      <c r="B28" s="3" t="n"/>
      <c r="C28" s="3" t="n"/>
      <c r="D28" s="3" t="n"/>
      <c r="E28" s="12" t="n"/>
      <c r="F28" s="3" t="n"/>
      <c r="G28" s="12" t="n"/>
      <c r="H28" s="3" t="n"/>
    </row>
  </sheetData>
  <mergeCells count="69">
    <mergeCell ref="A5:D5"/>
    <mergeCell ref="E12:F12"/>
    <mergeCell ref="G21:H21"/>
    <mergeCell ref="G12:H12"/>
    <mergeCell ref="A8:D8"/>
    <mergeCell ref="A23:D23"/>
    <mergeCell ref="A22:D22"/>
    <mergeCell ref="E24:F24"/>
    <mergeCell ref="A4:D4"/>
    <mergeCell ref="G11:H11"/>
    <mergeCell ref="A20:D20"/>
    <mergeCell ref="G27:H27"/>
    <mergeCell ref="E5:F5"/>
    <mergeCell ref="E23:F23"/>
    <mergeCell ref="E14:F14"/>
    <mergeCell ref="A19:D19"/>
    <mergeCell ref="G23:H23"/>
    <mergeCell ref="G8:H8"/>
    <mergeCell ref="A10:D10"/>
    <mergeCell ref="A28:D28"/>
    <mergeCell ref="E8:F8"/>
    <mergeCell ref="A13:D13"/>
    <mergeCell ref="E4:F4"/>
    <mergeCell ref="A9:D9"/>
    <mergeCell ref="E20:F20"/>
    <mergeCell ref="G7:H7"/>
    <mergeCell ref="E10:F10"/>
    <mergeCell ref="G10:H10"/>
    <mergeCell ref="E19:F19"/>
    <mergeCell ref="G19:H19"/>
    <mergeCell ref="A15:D15"/>
    <mergeCell ref="E28:F28"/>
    <mergeCell ref="E13:F13"/>
    <mergeCell ref="A24:D24"/>
    <mergeCell ref="G6:H6"/>
    <mergeCell ref="A11:D11"/>
    <mergeCell ref="G13:H13"/>
    <mergeCell ref="G28:H28"/>
    <mergeCell ref="E9:F9"/>
    <mergeCell ref="E6:F6"/>
    <mergeCell ref="A6:D6"/>
    <mergeCell ref="E15:F15"/>
    <mergeCell ref="G24:H24"/>
    <mergeCell ref="G15:H15"/>
    <mergeCell ref="E11:F11"/>
    <mergeCell ref="G5:H5"/>
    <mergeCell ref="E27:F27"/>
    <mergeCell ref="A7:D7"/>
    <mergeCell ref="A25:D25"/>
    <mergeCell ref="G14:H14"/>
    <mergeCell ref="A16:D16"/>
    <mergeCell ref="E26:F26"/>
    <mergeCell ref="G26:H26"/>
    <mergeCell ref="G4:H4"/>
    <mergeCell ref="G20:H20"/>
    <mergeCell ref="A27:D27"/>
    <mergeCell ref="E16:F16"/>
    <mergeCell ref="E21:F21"/>
    <mergeCell ref="E7:F7"/>
    <mergeCell ref="A12:D12"/>
    <mergeCell ref="G16:H16"/>
    <mergeCell ref="E25:F25"/>
    <mergeCell ref="G25:H25"/>
    <mergeCell ref="A21:D21"/>
    <mergeCell ref="A26:D26"/>
    <mergeCell ref="E22:F22"/>
    <mergeCell ref="G22:H22"/>
    <mergeCell ref="G9:H9"/>
    <mergeCell ref="A14:D14"/>
  </mergeCells>
  <dataValidations count="3">
    <dataValidation sqref="E8:H9" showDropDown="0" showInputMessage="0" showErrorMessage="0" allowBlank="1" type="list">
      <formula1>'Справочники'!$A$2:$A$9</formula1>
    </dataValidation>
    <dataValidation sqref="E11:H11" showDropDown="0" showInputMessage="0" showErrorMessage="0" allowBlank="1" type="list">
      <formula1>'Справочники'!$B$2:$B$7</formula1>
    </dataValidation>
    <dataValidation sqref="E14:H14" showDropDown="0" showInputMessage="0" showErrorMessage="0" allowBlank="1" type="list">
      <formula1>'Справочники'!$C$2:$C$12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4" customWidth="1" min="6" max="6"/>
    <col width="16" customWidth="1" min="7" max="7"/>
  </cols>
  <sheetData>
    <row r="1">
      <c r="A1" s="13" t="inlineStr">
        <is>
          <t>Страны</t>
        </is>
      </c>
      <c r="B1" s="13" t="inlineStr">
        <is>
          <t>Валюты</t>
        </is>
      </c>
      <c r="C1" s="13" t="inlineStr">
        <is>
          <t>Базис поставки</t>
        </is>
      </c>
      <c r="D1" s="13" t="inlineStr">
        <is>
          <t>Единицы измерения</t>
        </is>
      </c>
      <c r="F1" s="13" t="inlineStr">
        <is>
          <t>Валюта</t>
        </is>
      </c>
      <c r="G1" s="13" t="inlineStr">
        <is>
          <t>Курс к UZS</t>
        </is>
      </c>
    </row>
    <row r="2">
      <c r="A2" t="inlineStr">
        <is>
          <t>Узбекистан</t>
        </is>
      </c>
      <c r="B2" t="inlineStr">
        <is>
          <t>UZS</t>
        </is>
      </c>
      <c r="C2" t="inlineStr">
        <is>
          <t>EXW</t>
        </is>
      </c>
      <c r="D2" t="inlineStr">
        <is>
          <t>шт</t>
        </is>
      </c>
    </row>
    <row r="3">
      <c r="A3" t="inlineStr">
        <is>
          <t>Россия</t>
        </is>
      </c>
      <c r="B3" t="inlineStr">
        <is>
          <t>USD</t>
        </is>
      </c>
      <c r="C3" t="inlineStr">
        <is>
          <t>FCA</t>
        </is>
      </c>
      <c r="D3" t="inlineStr">
        <is>
          <t>компл</t>
        </is>
      </c>
    </row>
    <row r="4">
      <c r="A4" t="inlineStr">
        <is>
          <t>Казахстан</t>
        </is>
      </c>
      <c r="B4" t="inlineStr">
        <is>
          <t>EUR</t>
        </is>
      </c>
      <c r="C4" t="inlineStr">
        <is>
          <t>FAS</t>
        </is>
      </c>
      <c r="D4" t="inlineStr">
        <is>
          <t>м</t>
        </is>
      </c>
    </row>
    <row r="5">
      <c r="A5" t="inlineStr">
        <is>
          <t>Турция</t>
        </is>
      </c>
      <c r="B5" t="inlineStr">
        <is>
          <t>RUB</t>
        </is>
      </c>
      <c r="C5" t="inlineStr">
        <is>
          <t>FOB</t>
        </is>
      </c>
      <c r="D5" t="inlineStr">
        <is>
          <t>м2</t>
        </is>
      </c>
    </row>
    <row r="6">
      <c r="A6" t="inlineStr">
        <is>
          <t>Китай</t>
        </is>
      </c>
      <c r="B6" t="inlineStr">
        <is>
          <t>TRY</t>
        </is>
      </c>
      <c r="C6" t="inlineStr">
        <is>
          <t>CFR</t>
        </is>
      </c>
      <c r="D6" t="inlineStr">
        <is>
          <t>м3</t>
        </is>
      </c>
    </row>
    <row r="7">
      <c r="A7" t="inlineStr">
        <is>
          <t>Германия</t>
        </is>
      </c>
      <c r="B7" t="inlineStr">
        <is>
          <t>CNY</t>
        </is>
      </c>
      <c r="C7" t="inlineStr">
        <is>
          <t>CIF</t>
        </is>
      </c>
      <c r="D7" t="inlineStr">
        <is>
          <t>кг</t>
        </is>
      </c>
    </row>
    <row r="8">
      <c r="A8" t="inlineStr">
        <is>
          <t>Италия</t>
        </is>
      </c>
      <c r="C8" t="inlineStr">
        <is>
          <t>CPT</t>
        </is>
      </c>
      <c r="D8" t="inlineStr">
        <is>
          <t>т</t>
        </is>
      </c>
    </row>
    <row r="9">
      <c r="A9" t="inlineStr">
        <is>
          <t>Индия</t>
        </is>
      </c>
      <c r="C9" t="inlineStr">
        <is>
          <t>CIP</t>
        </is>
      </c>
      <c r="D9" t="inlineStr">
        <is>
          <t>л</t>
        </is>
      </c>
    </row>
    <row r="10">
      <c r="C10" t="inlineStr">
        <is>
          <t>DAP</t>
        </is>
      </c>
    </row>
    <row r="11">
      <c r="C11" t="inlineStr">
        <is>
          <t>DPU</t>
        </is>
      </c>
    </row>
    <row r="12">
      <c r="C12" t="inlineStr">
        <is>
          <t>DDP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2026-08-18T09:47:58Z</dcterms:created>
  <dcterms:modified xmlns:dcterms="http://purl.org/dc/terms/" xmlns:xsi="http://www.w3.org/2001/XMLSchema-instance" xsi:type="dcterms:W3CDTF">2026-08-18T09:47:58Z</dcterms:modified>
</cp:coreProperties>
</file>